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y_Notes\Excel_Practicals\"/>
    </mc:Choice>
  </mc:AlternateContent>
  <xr:revisionPtr revIDLastSave="0" documentId="13_ncr:1_{D23702F7-E05E-4C9F-BE94-5C43DA6E6EA9}" xr6:coauthVersionLast="47" xr6:coauthVersionMax="47" xr10:uidLastSave="{00000000-0000-0000-0000-000000000000}"/>
  <bookViews>
    <workbookView xWindow="-120" yWindow="-120" windowWidth="20730" windowHeight="11760" activeTab="1" xr2:uid="{16FBC814-DB82-4BEE-8774-2DEDCF17799E}"/>
  </bookViews>
  <sheets>
    <sheet name="Attendance 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C11" i="2"/>
  <c r="B11" i="2"/>
  <c r="B9" i="2"/>
  <c r="C9" i="2"/>
  <c r="D9" i="2"/>
  <c r="B10" i="2"/>
  <c r="C10" i="2"/>
  <c r="D10" i="2"/>
  <c r="C8" i="2"/>
  <c r="D8" i="2"/>
  <c r="B8" i="2"/>
  <c r="H3" i="2"/>
  <c r="F3" i="2"/>
  <c r="D3" i="2"/>
  <c r="B5" i="2" s="1"/>
  <c r="B3" i="2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G2" i="1"/>
  <c r="F2" i="1"/>
  <c r="D5" i="2" l="1"/>
</calcChain>
</file>

<file path=xl/sharedStrings.xml><?xml version="1.0" encoding="utf-8"?>
<sst xmlns="http://schemas.openxmlformats.org/spreadsheetml/2006/main" count="62" uniqueCount="38">
  <si>
    <t>Employee ID</t>
  </si>
  <si>
    <t>Employee Name</t>
  </si>
  <si>
    <t>Department</t>
  </si>
  <si>
    <t>Date</t>
  </si>
  <si>
    <t>Attendance Status</t>
  </si>
  <si>
    <t>Days Present</t>
  </si>
  <si>
    <t>Days Absent</t>
  </si>
  <si>
    <t>E001</t>
  </si>
  <si>
    <t>Awa Jallow</t>
  </si>
  <si>
    <t>IT</t>
  </si>
  <si>
    <t>Present</t>
  </si>
  <si>
    <t>E002</t>
  </si>
  <si>
    <t>Lamin Sanyang</t>
  </si>
  <si>
    <t>Finance</t>
  </si>
  <si>
    <t>Absent</t>
  </si>
  <si>
    <t>HR</t>
  </si>
  <si>
    <t>Fatou Touray</t>
  </si>
  <si>
    <t>E003</t>
  </si>
  <si>
    <t>E004</t>
  </si>
  <si>
    <t>Musa Bah</t>
  </si>
  <si>
    <t>Late</t>
  </si>
  <si>
    <t>Mariama Jobe</t>
  </si>
  <si>
    <t>E005</t>
  </si>
  <si>
    <t>E006</t>
  </si>
  <si>
    <t>Ebrima Ceesay</t>
  </si>
  <si>
    <t>E007</t>
  </si>
  <si>
    <t>Isatou Manneh</t>
  </si>
  <si>
    <t>E008</t>
  </si>
  <si>
    <t>Omar Camara</t>
  </si>
  <si>
    <t>E009</t>
  </si>
  <si>
    <t>Binta Sanneh</t>
  </si>
  <si>
    <t>E010</t>
  </si>
  <si>
    <t>Abdoulie Darboe</t>
  </si>
  <si>
    <t>EMPLOYEE ATTENDANCE DASHBOARD</t>
  </si>
  <si>
    <t>Total Employees</t>
  </si>
  <si>
    <t>Attendance Rate</t>
  </si>
  <si>
    <t>Attendance Including Late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</si>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</sst>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3" fillId="0" borderId="1" xfId="0" applyFont="1" applyBorder="1"/>
    <xf numFmtId="0" fontId="5" fillId="3" borderId="1" xfId="0" applyFont="1" applyFill="1" applyBorder="1" applyAlignment="1">
      <alignment horizontal="center"/>
    </xf>
    <xf numFmtId="9" fontId="5" fillId="3" borderId="1" xfId="1" applyFont="1" applyFill="1" applyBorder="1" applyAlignment="1">
      <alignment horizontal="center"/>
    </xf>
    <xf numFmtId="0" fontId="2" fillId="4" borderId="1" xfId="0" applyFont="1" applyFill="1" applyBorder="1"/>
    <xf numFmtId="0" fontId="0" fillId="0" borderId="1" xfId="0" applyBorder="1"/>
    <xf numFmtId="0" fontId="3" fillId="3" borderId="1" xfId="0" applyFont="1" applyFill="1" applyBorder="1"/>
  </cellXfs>
  <cellStyles count="2">
    <cellStyle name="Normal" xfId="0" builtinId="0"/>
    <cellStyle name="Percent" xfId="1" builtinId="5"/>
  </cellStyles>
  <dxfs count="2">
    <dxf>
      <numFmt numFmtId="19" formatCode="dd/mm/yyyy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Employee Attendance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16708333333333336"/>
          <c:w val="0.89655796150481193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Dashboard!$A$8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Dashboard!$B$7:$D$7</c:f>
              <c:strCache>
                <c:ptCount val="3"/>
                <c:pt idx="0">
                  <c:v>Present</c:v>
                </c:pt>
                <c:pt idx="1">
                  <c:v>Absent</c:v>
                </c:pt>
                <c:pt idx="2">
                  <c:v>Late</c:v>
                </c:pt>
              </c:strCache>
            </c:strRef>
          </c:cat>
          <c:val>
            <c:numRef>
              <c:f>Dashboard!$B$8:$D$8</c:f>
              <c:numCache>
                <c:formatCode>General</c:formatCode>
                <c:ptCount val="3"/>
                <c:pt idx="0">
                  <c:v>3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3-4091-8CB1-FC636E775897}"/>
            </c:ext>
          </c:extLst>
        </c:ser>
        <c:ser>
          <c:idx val="1"/>
          <c:order val="1"/>
          <c:tx>
            <c:strRef>
              <c:f>Dashboard!$A$9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Dashboard!$B$7:$D$7</c:f>
              <c:strCache>
                <c:ptCount val="3"/>
                <c:pt idx="0">
                  <c:v>Present</c:v>
                </c:pt>
                <c:pt idx="1">
                  <c:v>Absent</c:v>
                </c:pt>
                <c:pt idx="2">
                  <c:v>Late</c:v>
                </c:pt>
              </c:strCache>
            </c:strRef>
          </c:cat>
          <c:val>
            <c:numRef>
              <c:f>Dashboard!$B$9:$D$9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3-4091-8CB1-FC636E775897}"/>
            </c:ext>
          </c:extLst>
        </c:ser>
        <c:ser>
          <c:idx val="2"/>
          <c:order val="2"/>
          <c:tx>
            <c:strRef>
              <c:f>Dashboard!$A$10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Dashboard!$B$7:$D$7</c:f>
              <c:strCache>
                <c:ptCount val="3"/>
                <c:pt idx="0">
                  <c:v>Present</c:v>
                </c:pt>
                <c:pt idx="1">
                  <c:v>Absent</c:v>
                </c:pt>
                <c:pt idx="2">
                  <c:v>Late</c:v>
                </c:pt>
              </c:strCache>
            </c:strRef>
          </c:cat>
          <c:val>
            <c:numRef>
              <c:f>Dashboard!$B$10:$D$10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03-4091-8CB1-FC636E775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129631"/>
        <c:axId val="1420769215"/>
      </c:barChart>
      <c:catAx>
        <c:axId val="137612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69215"/>
        <c:crosses val="autoZero"/>
        <c:auto val="1"/>
        <c:lblAlgn val="ctr"/>
        <c:lblOffset val="100"/>
        <c:noMultiLvlLbl val="0"/>
      </c:catAx>
      <c:valAx>
        <c:axId val="142076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12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11</xdr:row>
      <xdr:rowOff>9524</xdr:rowOff>
    </xdr:from>
    <xdr:to>
      <xdr:col>4</xdr:col>
      <xdr:colOff>1</xdr:colOff>
      <xdr:row>28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528DB6-2A0D-2FD3-294D-93991B02D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BAB2C-D775-44A3-8E57-875158777B8C}" name="Table1" displayName="Table1" ref="A1:G11" totalsRowShown="0" headerRowDxfId="1">
  <autoFilter ref="A1:G11" xr:uid="{693BAB2C-D775-44A3-8E57-875158777B8C}"/>
  <tableColumns count="7">
    <tableColumn id="1" xr3:uid="{64D6E142-6910-4EFA-947F-8CFF91E1B6B7}" name="Employee ID"/>
    <tableColumn id="2" xr3:uid="{B420CCC3-308C-423A-861C-B5F4174584CB}" name="Employee Name"/>
    <tableColumn id="3" xr3:uid="{20440BD3-ADF6-48B5-A6FA-749BED24A65E}" name="Department"/>
    <tableColumn id="4" xr3:uid="{1596232B-FFEF-405C-BB63-499EBDB3C24F}" name="Date" dataDxfId="0"/>
    <tableColumn id="5" xr3:uid="{7A49D739-96C8-4EC1-AA16-F97C0A8E5C45}" name="Attendance Status"/>
    <tableColumn id="6" xr3:uid="{EA680CFE-2ED8-4CCF-BC74-96E54FD121C7}" name="Days Present">
      <calculatedColumnFormula>IF(E2="Present",1,0)</calculatedColumnFormula>
    </tableColumn>
    <tableColumn id="7" xr3:uid="{19BA9E7B-16E3-4C09-9607-C0030E3ED95F}" name="Days Absent">
      <calculatedColumnFormula>IF(E2="Absent",1,0)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F4BF-C7B5-4980-972B-A527B2D71BE3}">
  <dimension ref="A1:G11"/>
  <sheetViews>
    <sheetView workbookViewId="0">
      <selection activeCell="E2" sqref="E2"/>
    </sheetView>
  </sheetViews>
  <sheetFormatPr defaultRowHeight="15" x14ac:dyDescent="0.25"/>
  <cols>
    <col min="1" max="1" width="14.42578125" bestFit="1" customWidth="1"/>
    <col min="2" max="2" width="18" bestFit="1" customWidth="1"/>
    <col min="3" max="3" width="14" bestFit="1" customWidth="1"/>
    <col min="4" max="4" width="10.7109375" bestFit="1" customWidth="1"/>
    <col min="5" max="5" width="19.7109375" bestFit="1" customWidth="1"/>
    <col min="6" max="6" width="14.7109375" bestFit="1" customWidth="1"/>
    <col min="7" max="7" width="14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46307</v>
      </c>
      <c r="E2" t="s">
        <v>10</v>
      </c>
      <c r="F2">
        <f>IF(E2="Present",1,0)</f>
        <v>1</v>
      </c>
      <c r="G2">
        <f>IF(E2="Absent",1,0)</f>
        <v>0</v>
      </c>
    </row>
    <row r="3" spans="1:7" x14ac:dyDescent="0.25">
      <c r="A3" t="s">
        <v>11</v>
      </c>
      <c r="B3" t="s">
        <v>12</v>
      </c>
      <c r="C3" t="s">
        <v>13</v>
      </c>
      <c r="D3" s="1">
        <v>46307</v>
      </c>
      <c r="E3" t="s">
        <v>14</v>
      </c>
      <c r="F3">
        <f t="shared" ref="F3:F11" si="0">IF(E3="Present",1,0)</f>
        <v>0</v>
      </c>
      <c r="G3">
        <f t="shared" ref="G3:G11" si="1">IF(E3="Absent",1,0)</f>
        <v>1</v>
      </c>
    </row>
    <row r="4" spans="1:7" x14ac:dyDescent="0.25">
      <c r="A4" t="s">
        <v>17</v>
      </c>
      <c r="B4" t="s">
        <v>16</v>
      </c>
      <c r="C4" t="s">
        <v>15</v>
      </c>
      <c r="D4" s="1">
        <v>46307</v>
      </c>
      <c r="E4" t="s">
        <v>10</v>
      </c>
      <c r="F4">
        <f t="shared" si="0"/>
        <v>1</v>
      </c>
      <c r="G4">
        <f t="shared" si="1"/>
        <v>0</v>
      </c>
    </row>
    <row r="5" spans="1:7" x14ac:dyDescent="0.25">
      <c r="A5" t="s">
        <v>18</v>
      </c>
      <c r="B5" t="s">
        <v>19</v>
      </c>
      <c r="C5" t="s">
        <v>9</v>
      </c>
      <c r="D5" s="1">
        <v>46307</v>
      </c>
      <c r="E5" t="s">
        <v>20</v>
      </c>
      <c r="F5">
        <f t="shared" si="0"/>
        <v>0</v>
      </c>
      <c r="G5">
        <f t="shared" si="1"/>
        <v>0</v>
      </c>
    </row>
    <row r="6" spans="1:7" x14ac:dyDescent="0.25">
      <c r="A6" t="s">
        <v>22</v>
      </c>
      <c r="B6" t="s">
        <v>21</v>
      </c>
      <c r="C6" t="s">
        <v>13</v>
      </c>
      <c r="D6" s="1">
        <v>46307</v>
      </c>
      <c r="E6" t="s">
        <v>10</v>
      </c>
      <c r="F6">
        <f t="shared" si="0"/>
        <v>1</v>
      </c>
      <c r="G6">
        <f t="shared" si="1"/>
        <v>0</v>
      </c>
    </row>
    <row r="7" spans="1:7" x14ac:dyDescent="0.25">
      <c r="A7" t="s">
        <v>23</v>
      </c>
      <c r="B7" t="s">
        <v>24</v>
      </c>
      <c r="C7" t="s">
        <v>15</v>
      </c>
      <c r="D7" s="1">
        <v>46307</v>
      </c>
      <c r="E7" t="s">
        <v>14</v>
      </c>
      <c r="F7">
        <f t="shared" si="0"/>
        <v>0</v>
      </c>
      <c r="G7">
        <f t="shared" si="1"/>
        <v>1</v>
      </c>
    </row>
    <row r="8" spans="1:7" x14ac:dyDescent="0.25">
      <c r="A8" t="s">
        <v>25</v>
      </c>
      <c r="B8" t="s">
        <v>26</v>
      </c>
      <c r="C8" t="s">
        <v>9</v>
      </c>
      <c r="D8" s="1">
        <v>46307</v>
      </c>
      <c r="E8" t="s">
        <v>10</v>
      </c>
      <c r="F8">
        <f t="shared" si="0"/>
        <v>1</v>
      </c>
      <c r="G8">
        <f t="shared" si="1"/>
        <v>0</v>
      </c>
    </row>
    <row r="9" spans="1:7" x14ac:dyDescent="0.25">
      <c r="A9" t="s">
        <v>27</v>
      </c>
      <c r="B9" t="s">
        <v>28</v>
      </c>
      <c r="C9" t="s">
        <v>13</v>
      </c>
      <c r="D9" s="1">
        <v>46307</v>
      </c>
      <c r="E9" t="s">
        <v>10</v>
      </c>
      <c r="F9">
        <f t="shared" si="0"/>
        <v>1</v>
      </c>
      <c r="G9">
        <f t="shared" si="1"/>
        <v>0</v>
      </c>
    </row>
    <row r="10" spans="1:7" x14ac:dyDescent="0.25">
      <c r="A10" t="s">
        <v>29</v>
      </c>
      <c r="B10" t="s">
        <v>30</v>
      </c>
      <c r="C10" t="s">
        <v>15</v>
      </c>
      <c r="D10" s="1">
        <v>46307</v>
      </c>
      <c r="E10" t="s">
        <v>20</v>
      </c>
      <c r="F10">
        <f t="shared" si="0"/>
        <v>0</v>
      </c>
      <c r="G10">
        <f t="shared" si="1"/>
        <v>0</v>
      </c>
    </row>
    <row r="11" spans="1:7" x14ac:dyDescent="0.25">
      <c r="A11" t="s">
        <v>31</v>
      </c>
      <c r="B11" t="s">
        <v>32</v>
      </c>
      <c r="C11" t="s">
        <v>9</v>
      </c>
      <c r="D11" s="1">
        <v>46307</v>
      </c>
      <c r="E11" t="s">
        <v>10</v>
      </c>
      <c r="F11">
        <f t="shared" si="0"/>
        <v>1</v>
      </c>
      <c r="G11">
        <f t="shared" si="1"/>
        <v>0</v>
      </c>
    </row>
  </sheetData>
  <dataValidations count="1">
    <dataValidation type="list" allowBlank="1" showInputMessage="1" showErrorMessage="1" sqref="E2:E11" xr:uid="{E4E09157-062C-4FEE-B50A-0D349EBA0236}">
      <formula1>"Present, Absent, Late"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9874-B418-4B86-9059-221AAE484DF8}">
  <dimension ref="A1:H11"/>
  <sheetViews>
    <sheetView tabSelected="1" workbookViewId="0">
      <selection activeCell="F12" sqref="F12"/>
    </sheetView>
  </sheetViews>
  <sheetFormatPr defaultRowHeight="15" x14ac:dyDescent="0.25"/>
  <cols>
    <col min="1" max="1" width="15.85546875" bestFit="1" customWidth="1"/>
    <col min="2" max="2" width="7.85546875" bestFit="1" customWidth="1"/>
    <col min="3" max="3" width="24.42578125" bestFit="1" customWidth="1"/>
    <col min="4" max="4" width="6.140625" bestFit="1" customWidth="1"/>
  </cols>
  <sheetData>
    <row r="1" spans="1:8" ht="23.25" x14ac:dyDescent="0.35">
      <c r="A1" s="3" t="s">
        <v>33</v>
      </c>
      <c r="B1" s="3"/>
      <c r="C1" s="3"/>
      <c r="D1" s="3"/>
      <c r="E1" s="3"/>
      <c r="F1" s="3"/>
      <c r="G1" s="3"/>
      <c r="H1" s="3"/>
    </row>
    <row r="3" spans="1:8" ht="18.75" x14ac:dyDescent="0.3">
      <c r="A3" s="4" t="s">
        <v>34</v>
      </c>
      <c r="B3" s="5">
        <f>COUNTA('Attendance Data'!A2:A11)</f>
        <v>10</v>
      </c>
      <c r="C3" s="4" t="s">
        <v>10</v>
      </c>
      <c r="D3" s="5">
        <f>COUNTIF('Attendance Data'!E2:E11,"Present")</f>
        <v>6</v>
      </c>
      <c r="E3" s="4" t="s">
        <v>14</v>
      </c>
      <c r="F3" s="5">
        <f>COUNTIF('Attendance Data'!E2:E11,"Absent")</f>
        <v>2</v>
      </c>
      <c r="G3" s="4" t="s">
        <v>20</v>
      </c>
      <c r="H3" s="5">
        <f>COUNTIF('Attendance Data'!E2:E11,"Late")</f>
        <v>2</v>
      </c>
    </row>
    <row r="5" spans="1:8" ht="18.75" x14ac:dyDescent="0.3">
      <c r="A5" s="4" t="s">
        <v>35</v>
      </c>
      <c r="B5" s="6">
        <f>IFERROR(D3/B3,0)</f>
        <v>0.6</v>
      </c>
      <c r="C5" s="4" t="s">
        <v>36</v>
      </c>
      <c r="D5" s="6">
        <f>IFERROR((D3+H3)/B3,0)</f>
        <v>0.8</v>
      </c>
    </row>
    <row r="7" spans="1:8" x14ac:dyDescent="0.25">
      <c r="A7" s="7" t="s">
        <v>2</v>
      </c>
      <c r="B7" s="7" t="s">
        <v>10</v>
      </c>
      <c r="C7" s="7" t="s">
        <v>14</v>
      </c>
      <c r="D7" s="7" t="s">
        <v>20</v>
      </c>
    </row>
    <row r="8" spans="1:8" x14ac:dyDescent="0.25">
      <c r="A8" s="8" t="s">
        <v>9</v>
      </c>
      <c r="B8" s="8">
        <f>COUNTIFS('Attendance Data'!$C$2:$C$11,$A8,'Attendance Data'!$E$2:$E$11,B$7)</f>
        <v>3</v>
      </c>
      <c r="C8" s="8">
        <f>COUNTIFS('Attendance Data'!$C$2:$C$11,$A8,'Attendance Data'!$E$2:$E$11,C$7)</f>
        <v>0</v>
      </c>
      <c r="D8" s="8">
        <f>COUNTIFS('Attendance Data'!$C$2:$C$11,$A8,'Attendance Data'!$E$2:$E$11,D$7)</f>
        <v>1</v>
      </c>
    </row>
    <row r="9" spans="1:8" x14ac:dyDescent="0.25">
      <c r="A9" s="8" t="s">
        <v>13</v>
      </c>
      <c r="B9" s="8">
        <f>COUNTIFS('Attendance Data'!$C$2:$C$11,$A9,'Attendance Data'!$E$2:$E$11,B$7)</f>
        <v>2</v>
      </c>
      <c r="C9" s="8">
        <f>COUNTIFS('Attendance Data'!$C$2:$C$11,$A9,'Attendance Data'!$E$2:$E$11,C$7)</f>
        <v>1</v>
      </c>
      <c r="D9" s="8">
        <f>COUNTIFS('Attendance Data'!$C$2:$C$11,$A9,'Attendance Data'!$E$2:$E$11,D$7)</f>
        <v>0</v>
      </c>
    </row>
    <row r="10" spans="1:8" x14ac:dyDescent="0.25">
      <c r="A10" s="8" t="s">
        <v>15</v>
      </c>
      <c r="B10" s="8">
        <f>COUNTIFS('Attendance Data'!$C$2:$C$11,$A10,'Attendance Data'!$E$2:$E$11,B$7)</f>
        <v>1</v>
      </c>
      <c r="C10" s="8">
        <f>COUNTIFS('Attendance Data'!$C$2:$C$11,$A10,'Attendance Data'!$E$2:$E$11,C$7)</f>
        <v>1</v>
      </c>
      <c r="D10" s="8">
        <f>COUNTIFS('Attendance Data'!$C$2:$C$11,$A10,'Attendance Data'!$E$2:$E$11,D$7)</f>
        <v>1</v>
      </c>
    </row>
    <row r="11" spans="1:8" x14ac:dyDescent="0.25">
      <c r="A11" s="9" t="s">
        <v>37</v>
      </c>
      <c r="B11" s="9">
        <f>SUM(B8:B10)</f>
        <v>6</v>
      </c>
      <c r="C11" s="9">
        <f>SUM(C8:C10)</f>
        <v>2</v>
      </c>
      <c r="D11" s="9">
        <f>SUM(D8:D10)</f>
        <v>2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Modou Lamin Ceesay</dc:creator>
  <cp:lastModifiedBy>Modou Lamin Ceesay</cp:lastModifiedBy>
  <dcterms:created xsi:type="dcterms:W3CDTF">2026-10-13T23:11:05Z</dcterms:created>
  <dcterms:modified xsi:type="dcterms:W3CDTF">2026-10-14T01:14:29Z</dcterms:modified>
</cp:coreProperties>
</file>